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islative_Research_Matrix" sheetId="1" state="visible" r:id="rId1"/>
    <sheet name="Excel_Calculation_Benchmark" sheetId="2" state="visible" r:id="rId2"/>
    <sheet name="Manual_Test_Cas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375623"/>
      <sz val="10"/>
    </font>
    <font>
      <name val="Calibri"/>
      <b val="1"/>
      <color rgb="007F4F00"/>
      <sz val="10"/>
    </font>
    <font>
      <name val="Calibri"/>
      <b val="1"/>
      <color rgb="00FFFFFF"/>
      <sz val="13"/>
    </font>
    <font>
      <name val="Calibri"/>
      <b val="1"/>
      <color rgb="009C0006"/>
      <sz val="10"/>
    </font>
    <font>
      <name val="Calibri"/>
      <b val="1"/>
      <color rgb="00375623"/>
      <sz val="12"/>
    </font>
    <font>
      <name val="Calibri"/>
      <b val="1"/>
      <color rgb="001F3864"/>
      <sz val="11"/>
    </font>
    <font>
      <name val="Calibri"/>
      <b val="1"/>
      <sz val="10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EF2FF"/>
      </patternFill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FFC7CE"/>
      </patternFill>
    </fill>
    <fill>
      <patternFill patternType="solid">
        <fgColor rgb="00E8F5E9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28" customWidth="1" min="4" max="4"/>
    <col width="14" customWidth="1" min="5" max="5"/>
    <col width="28" customWidth="1" min="6" max="6"/>
    <col width="30" customWidth="1" min="7" max="7"/>
    <col width="30" customWidth="1" min="8" max="8"/>
    <col width="18" customWidth="1" min="9" max="9"/>
    <col width="14" customWidth="1" min="10" max="10"/>
  </cols>
  <sheetData>
    <row r="1" ht="36" customHeight="1">
      <c r="A1" s="1" t="inlineStr">
        <is>
          <t>📋  LEGISLATIVE RESEARCH MATRIX — India Statutory Payroll Rules</t>
        </is>
      </c>
    </row>
    <row r="2" ht="20" customHeight="1">
      <c r="A2" s="2" t="inlineStr">
        <is>
          <t>Payroll Management System · Module 2: Statutory &amp; Compliance Configuration  |  Prepared for Deloitte BSA Review</t>
        </is>
      </c>
    </row>
    <row r="3" ht="6" customHeight="1"/>
    <row r="4" ht="42" customHeight="1">
      <c r="A4" s="3" t="inlineStr">
        <is>
          <t>Statutory
Component</t>
        </is>
      </c>
      <c r="B4" s="3" t="inlineStr">
        <is>
          <t>Applicable
Act / Rule</t>
        </is>
      </c>
      <c r="C4" s="3" t="inlineStr">
        <is>
          <t>Employee
Contribution</t>
        </is>
      </c>
      <c r="D4" s="3" t="inlineStr">
        <is>
          <t>Employer
Contribution</t>
        </is>
      </c>
      <c r="E4" s="3" t="inlineStr">
        <is>
          <t>Wage Basis</t>
        </is>
      </c>
      <c r="F4" s="3" t="inlineStr">
        <is>
          <t>Wage Ceiling
(INR/month)</t>
        </is>
      </c>
      <c r="G4" s="3" t="inlineStr">
        <is>
          <t>Applicability
Scope</t>
        </is>
      </c>
      <c r="H4" s="3" t="inlineStr">
        <is>
          <t>Penalty for
Non-Compliance</t>
        </is>
      </c>
      <c r="I4" s="3" t="inlineStr">
        <is>
          <t>App Config
Field</t>
        </is>
      </c>
      <c r="J4" s="3" t="inlineStr">
        <is>
          <t>Status</t>
        </is>
      </c>
    </row>
    <row r="5" ht="45" customHeight="1">
      <c r="A5" s="4" t="inlineStr">
        <is>
          <t>Provident Fund (PF)</t>
        </is>
      </c>
      <c r="B5" s="5" t="inlineStr">
        <is>
          <t>Employees' Provident Fund &amp; Misc. Provisions Act, 1952</t>
        </is>
      </c>
      <c r="C5" s="5" t="inlineStr">
        <is>
          <t>12% of Basic Wage</t>
        </is>
      </c>
      <c r="D5" s="5" t="inlineStr">
        <is>
          <t>12% of Basic Wage
(3.67% PF + 8.33% EPS)</t>
        </is>
      </c>
      <c r="E5" s="5" t="inlineStr">
        <is>
          <t>Basic + DA</t>
        </is>
      </c>
      <c r="F5" s="5" t="inlineStr">
        <is>
          <t>₹15,000 (PF on basic &gt; ₹15,000 capped at ₹1,800/month)</t>
        </is>
      </c>
      <c r="G5" s="5" t="inlineStr">
        <is>
          <t>Establishments with ≥ 20 employees</t>
        </is>
      </c>
      <c r="H5" s="5" t="inlineStr">
        <is>
          <t>Up to 3 years imprisonment + fine</t>
        </is>
      </c>
      <c r="I5" s="5" t="inlineStr">
        <is>
          <t>pfPercentage</t>
        </is>
      </c>
      <c r="J5" s="6" t="inlineStr">
        <is>
          <t>✅ Configured</t>
        </is>
      </c>
    </row>
    <row r="6" ht="45" customHeight="1">
      <c r="A6" s="7" t="inlineStr">
        <is>
          <t>Employee State Insurance (ESI)</t>
        </is>
      </c>
      <c r="B6" s="8" t="inlineStr">
        <is>
          <t>Employees' State Insurance Act, 1948</t>
        </is>
      </c>
      <c r="C6" s="8" t="inlineStr">
        <is>
          <t>0.75% of Gross Wage</t>
        </is>
      </c>
      <c r="D6" s="8" t="inlineStr">
        <is>
          <t>3.25% of Gross Wage</t>
        </is>
      </c>
      <c r="E6" s="8" t="inlineStr">
        <is>
          <t>Gross Salary</t>
        </is>
      </c>
      <c r="F6" s="8" t="inlineStr">
        <is>
          <t>₹21,000 (employees earning &gt; ₹21,000 exempt)</t>
        </is>
      </c>
      <c r="G6" s="8" t="inlineStr">
        <is>
          <t>Factories &amp; establishments in ESI-notified areas</t>
        </is>
      </c>
      <c r="H6" s="8" t="inlineStr">
        <is>
          <t>Penalty up to ₹25,000 + arrears</t>
        </is>
      </c>
      <c r="I6" s="8" t="inlineStr">
        <is>
          <t>esiPercentage</t>
        </is>
      </c>
      <c r="J6" s="6" t="inlineStr">
        <is>
          <t>✅ Configured</t>
        </is>
      </c>
    </row>
    <row r="7" ht="45" customHeight="1">
      <c r="A7" s="4" t="inlineStr">
        <is>
          <t>Professional Tax (PT)</t>
        </is>
      </c>
      <c r="B7" s="5" t="inlineStr">
        <is>
          <t>State-specific PT Acts (varies by state)</t>
        </is>
      </c>
      <c r="C7" s="5" t="inlineStr">
        <is>
          <t>Employee bears full PT</t>
        </is>
      </c>
      <c r="D7" s="5" t="inlineStr">
        <is>
          <t>Employer deducts &amp; remits</t>
        </is>
      </c>
      <c r="E7" s="5" t="inlineStr">
        <is>
          <t>Gross Salary</t>
        </is>
      </c>
      <c r="F7" s="5" t="inlineStr">
        <is>
          <t>Slab-based (see below)</t>
        </is>
      </c>
      <c r="G7" s="5" t="inlineStr">
        <is>
          <t>State-governed; not applicable in all states</t>
        </is>
      </c>
      <c r="H7" s="5" t="inlineStr">
        <is>
          <t>Fine + 2% per month interest</t>
        </is>
      </c>
      <c r="I7" s="5" t="inlineStr">
        <is>
          <t>professionalTax</t>
        </is>
      </c>
      <c r="J7" s="6" t="inlineStr">
        <is>
          <t>✅ Configured</t>
        </is>
      </c>
    </row>
    <row r="8" ht="45" customHeight="1">
      <c r="A8" s="7" t="inlineStr">
        <is>
          <t>PF – Wage Cap Rule</t>
        </is>
      </c>
      <c r="B8" s="8" t="inlineStr">
        <is>
          <t>EPF Circular 2014</t>
        </is>
      </c>
      <c r="C8" s="8" t="inlineStr">
        <is>
          <t>Capped at 12% × min(basic, ₹15,000)</t>
        </is>
      </c>
      <c r="D8" s="8" t="inlineStr">
        <is>
          <t>Same cap applies</t>
        </is>
      </c>
      <c r="E8" s="8" t="inlineStr">
        <is>
          <t>Basic Wage</t>
        </is>
      </c>
      <c r="F8" s="8" t="inlineStr">
        <is>
          <t>₹15,000 hard cap</t>
        </is>
      </c>
      <c r="G8" s="8" t="inlineStr">
        <is>
          <t>All EPF members</t>
        </is>
      </c>
      <c r="H8" s="8" t="inlineStr">
        <is>
          <t>Audit objection risk</t>
        </is>
      </c>
      <c r="I8" s="8" t="inlineStr">
        <is>
          <t>pf_wage_cap (SQL)</t>
        </is>
      </c>
      <c r="J8" s="6" t="inlineStr">
        <is>
          <t>✅ Documented</t>
        </is>
      </c>
    </row>
    <row r="9" ht="45" customHeight="1">
      <c r="A9" s="4" t="inlineStr">
        <is>
          <t>ESI – Boundary Rule</t>
        </is>
      </c>
      <c r="B9" s="5" t="inlineStr">
        <is>
          <t>ESI Act §2(22)</t>
        </is>
      </c>
      <c r="C9" s="5" t="inlineStr">
        <is>
          <t>0% if gross &gt; ₹21,000</t>
        </is>
      </c>
      <c r="D9" s="5" t="inlineStr">
        <is>
          <t>0% if gross &gt; ₹21,000</t>
        </is>
      </c>
      <c r="E9" s="5" t="inlineStr">
        <is>
          <t>Gross Salary</t>
        </is>
      </c>
      <c r="F9" s="5" t="inlineStr">
        <is>
          <t>₹21,000 cutoff</t>
        </is>
      </c>
      <c r="G9" s="5" t="inlineStr">
        <is>
          <t>Monthly re-evaluation required</t>
        </is>
      </c>
      <c r="H9" s="5" t="inlineStr">
        <is>
          <t>Liability for arrears</t>
        </is>
      </c>
      <c r="I9" s="5" t="inlineStr">
        <is>
          <t>esi_wage_limit (SQL)</t>
        </is>
      </c>
      <c r="J9" s="6" t="inlineStr">
        <is>
          <t>✅ Boundary Tested</t>
        </is>
      </c>
    </row>
    <row r="10" ht="45" customHeight="1">
      <c r="A10" s="9" t="inlineStr">
        <is>
          <t>Professional Tax – Karnataka</t>
        </is>
      </c>
      <c r="B10" s="10" t="inlineStr">
        <is>
          <t>Karnataka Tax on Professions Act, 1976</t>
        </is>
      </c>
      <c r="C10" s="10" t="inlineStr">
        <is>
          <t>₹0–₹15,000: Nil  |  ₹15,001–₹35,000: ₹150  |  &gt;₹35,000: ₹200</t>
        </is>
      </c>
      <c r="D10" s="10" t="inlineStr">
        <is>
          <t>Employer remits</t>
        </is>
      </c>
      <c r="E10" s="10" t="inlineStr">
        <is>
          <t>Gross Salary</t>
        </is>
      </c>
      <c r="F10" s="10" t="inlineStr">
        <is>
          <t>Slab-based</t>
        </is>
      </c>
      <c r="G10" s="10" t="inlineStr">
        <is>
          <t>Karnataka state</t>
        </is>
      </c>
      <c r="H10" s="10" t="inlineStr">
        <is>
          <t>Interest 1.25%/month</t>
        </is>
      </c>
      <c r="I10" s="10" t="inlineStr">
        <is>
          <t>professionalTax</t>
        </is>
      </c>
      <c r="J10" s="6" t="inlineStr">
        <is>
          <t>✅ Slab Applied</t>
        </is>
      </c>
    </row>
    <row r="11" ht="45" customHeight="1">
      <c r="A11" s="9" t="inlineStr">
        <is>
          <t>Professional Tax – Maharashtra</t>
        </is>
      </c>
      <c r="B11" s="10" t="inlineStr">
        <is>
          <t>Maharashtra State Tax on Professions Act, 1975</t>
        </is>
      </c>
      <c r="C11" s="10" t="inlineStr">
        <is>
          <t>₹0–₹7,500: Nil  |  ₹7,501–₹10,000: ₹175  |  &gt;₹10,000: ₹200 (Feb: ₹300)</t>
        </is>
      </c>
      <c r="D11" s="10" t="inlineStr">
        <is>
          <t>Employer remits</t>
        </is>
      </c>
      <c r="E11" s="10" t="inlineStr">
        <is>
          <t>Gross Salary</t>
        </is>
      </c>
      <c r="F11" s="10" t="inlineStr">
        <is>
          <t>Slab-based</t>
        </is>
      </c>
      <c r="G11" s="10" t="inlineStr">
        <is>
          <t>Maharashtra state</t>
        </is>
      </c>
      <c r="H11" s="10" t="inlineStr">
        <is>
          <t>Penalty ₹300 or 3× tax</t>
        </is>
      </c>
      <c r="I11" s="10" t="inlineStr">
        <is>
          <t>professionalTax</t>
        </is>
      </c>
      <c r="J11" s="6" t="inlineStr">
        <is>
          <t>✅ Slab Applied</t>
        </is>
      </c>
    </row>
    <row r="12" ht="45" customHeight="1">
      <c r="A12" s="9" t="inlineStr">
        <is>
          <t>Professional Tax – Tamil Nadu</t>
        </is>
      </c>
      <c r="B12" s="10" t="inlineStr">
        <is>
          <t>Tamil Nadu Municipal Laws (2nd Amendment) Act</t>
        </is>
      </c>
      <c r="C12" s="10" t="inlineStr">
        <is>
          <t>Up to ₹208/month</t>
        </is>
      </c>
      <c r="D12" s="10" t="inlineStr">
        <is>
          <t>Employer remits</t>
        </is>
      </c>
      <c r="E12" s="10" t="inlineStr">
        <is>
          <t>Gross Salary</t>
        </is>
      </c>
      <c r="F12" s="10" t="inlineStr">
        <is>
          <t>₹208 max</t>
        </is>
      </c>
      <c r="G12" s="10" t="inlineStr">
        <is>
          <t>Tamil Nadu state</t>
        </is>
      </c>
      <c r="H12" s="10" t="inlineStr">
        <is>
          <t>Fine + 12% interest</t>
        </is>
      </c>
      <c r="I12" s="10" t="inlineStr">
        <is>
          <t>professionalTax</t>
        </is>
      </c>
      <c r="J12" s="6" t="inlineStr">
        <is>
          <t>✅ Slab Applied</t>
        </is>
      </c>
    </row>
    <row r="13" ht="45" customHeight="1">
      <c r="A13" s="9" t="inlineStr">
        <is>
          <t>Professional Tax – West Bengal</t>
        </is>
      </c>
      <c r="B13" s="10" t="inlineStr">
        <is>
          <t>West Bengal State Tax on Professions Act, 1979</t>
        </is>
      </c>
      <c r="C13" s="10" t="inlineStr">
        <is>
          <t>₹110/month</t>
        </is>
      </c>
      <c r="D13" s="10" t="inlineStr">
        <is>
          <t>Employer remits</t>
        </is>
      </c>
      <c r="E13" s="10" t="inlineStr">
        <is>
          <t>Gross Salary</t>
        </is>
      </c>
      <c r="F13" s="10" t="inlineStr">
        <is>
          <t>₹110/month</t>
        </is>
      </c>
      <c r="G13" s="10" t="inlineStr">
        <is>
          <t>West Bengal state</t>
        </is>
      </c>
      <c r="H13" s="10" t="inlineStr">
        <is>
          <t>Fine under WB PT Act</t>
        </is>
      </c>
      <c r="I13" s="10" t="inlineStr">
        <is>
          <t>professionalTax</t>
        </is>
      </c>
      <c r="J13" s="6" t="inlineStr">
        <is>
          <t>✅ Slab Applied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6" customWidth="1" min="11" max="11"/>
    <col width="14" customWidth="1" min="12" max="12"/>
    <col width="12" customWidth="1" min="13" max="13"/>
    <col width="30" customWidth="1" min="14" max="14"/>
  </cols>
  <sheetData>
    <row r="1" ht="32" customHeight="1">
      <c r="A1" s="11" t="inlineStr">
        <is>
          <t>📊  EXCEL CALCULATION BENCHMARK — PF / ESI / PT Deduction Engine  |  20 Sample Employees</t>
        </is>
      </c>
    </row>
    <row r="2" ht="18" customHeight="1">
      <c r="A2" s="2" t="inlineStr">
        <is>
          <t>Formulas used: IF · MIN · ROUND · MAX  |  PF Cap: ₹15,000 Basic  |  ESI Ceiling: ₹21,000 Gross  |  PT: Flat ₹200 (Karnataka)</t>
        </is>
      </c>
    </row>
    <row r="3" ht="6" customHeight="1"/>
    <row r="4" ht="40" customHeight="1">
      <c r="A4" s="3" t="inlineStr">
        <is>
          <t>Emp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Basic Wage
(₹)</t>
        </is>
      </c>
      <c r="E4" s="3" t="inlineStr">
        <is>
          <t>Gross Salary
(₹)</t>
        </is>
      </c>
      <c r="F4" s="3" t="inlineStr">
        <is>
          <t>PF Eligible
Basic (₹)</t>
        </is>
      </c>
      <c r="G4" s="12" t="inlineStr">
        <is>
          <t>PF Deduction
(₹) 12%</t>
        </is>
      </c>
      <c r="H4" s="3" t="inlineStr">
        <is>
          <t>ESI Eligible?
(Y/N)</t>
        </is>
      </c>
      <c r="I4" s="12" t="inlineStr">
        <is>
          <t>ESI Deduction
(₹) 0.75%</t>
        </is>
      </c>
      <c r="J4" s="12" t="inlineStr">
        <is>
          <t>Prof. Tax
(₹)</t>
        </is>
      </c>
      <c r="K4" s="3" t="inlineStr">
        <is>
          <t>Total
Deductions (₹)</t>
        </is>
      </c>
      <c r="L4" s="3" t="inlineStr">
        <is>
          <t>Net Salary
(₹)</t>
        </is>
      </c>
      <c r="M4" s="3" t="inlineStr">
        <is>
          <t>Cross-Check
✓/✗</t>
        </is>
      </c>
      <c r="N4" s="3" t="inlineStr">
        <is>
          <t>Notes</t>
        </is>
      </c>
    </row>
    <row r="5" ht="22" customHeight="1">
      <c r="A5" s="13" t="inlineStr">
        <is>
          <t>E001</t>
        </is>
      </c>
      <c r="B5" s="5" t="inlineStr">
        <is>
          <t>Aarav Sharma</t>
        </is>
      </c>
      <c r="C5" s="5" t="inlineStr">
        <is>
          <t>Engineering</t>
        </is>
      </c>
      <c r="D5" s="14" t="n">
        <v>18000</v>
      </c>
      <c r="E5" s="14" t="n">
        <v>32000</v>
      </c>
      <c r="F5" s="14" t="n">
        <v>15000</v>
      </c>
      <c r="G5" s="14" t="n">
        <v>1800</v>
      </c>
      <c r="H5" s="15" t="inlineStr">
        <is>
          <t>N</t>
        </is>
      </c>
      <c r="I5" s="14" t="n">
        <v>0</v>
      </c>
      <c r="J5" s="14" t="n">
        <v>200</v>
      </c>
      <c r="K5" s="14" t="n">
        <v>2000</v>
      </c>
      <c r="L5" s="14" t="n">
        <v>30000</v>
      </c>
      <c r="M5" s="16" t="inlineStr">
        <is>
          <t>✓</t>
        </is>
      </c>
      <c r="N5" s="5" t="inlineStr">
        <is>
          <t>PF capped at ₹15,000 (actual basic ₹18,000)</t>
        </is>
      </c>
    </row>
    <row r="6" ht="22" customHeight="1">
      <c r="A6" s="17" t="inlineStr">
        <is>
          <t>E002</t>
        </is>
      </c>
      <c r="B6" s="8" t="inlineStr">
        <is>
          <t>Priya Nair</t>
        </is>
      </c>
      <c r="C6" s="8" t="inlineStr">
        <is>
          <t>HR</t>
        </is>
      </c>
      <c r="D6" s="18" t="n">
        <v>12000</v>
      </c>
      <c r="E6" s="18" t="n">
        <v>20999</v>
      </c>
      <c r="F6" s="18" t="n">
        <v>12000</v>
      </c>
      <c r="G6" s="18" t="n">
        <v>1440</v>
      </c>
      <c r="H6" s="19" t="inlineStr">
        <is>
          <t>Y</t>
        </is>
      </c>
      <c r="I6" s="18" t="n">
        <v>157.49</v>
      </c>
      <c r="J6" s="18" t="n">
        <v>200</v>
      </c>
      <c r="K6" s="18" t="n">
        <v>1797.49</v>
      </c>
      <c r="L6" s="18" t="n">
        <v>19201.51</v>
      </c>
      <c r="M6" s="20" t="inlineStr">
        <is>
          <t>✓</t>
        </is>
      </c>
      <c r="N6" s="8" t="inlineStr">
        <is>
          <t>⚠ 1 rupee below ESI ceiling — ESI applies</t>
        </is>
      </c>
    </row>
    <row r="7" ht="22" customHeight="1">
      <c r="A7" s="13" t="inlineStr">
        <is>
          <t>E003</t>
        </is>
      </c>
      <c r="B7" s="5" t="inlineStr">
        <is>
          <t>Rohan Mehta</t>
        </is>
      </c>
      <c r="C7" s="5" t="inlineStr">
        <is>
          <t>Finance</t>
        </is>
      </c>
      <c r="D7" s="14" t="n">
        <v>25000</v>
      </c>
      <c r="E7" s="14" t="n">
        <v>42000</v>
      </c>
      <c r="F7" s="14" t="n">
        <v>15000</v>
      </c>
      <c r="G7" s="14" t="n">
        <v>1800</v>
      </c>
      <c r="H7" s="15" t="inlineStr">
        <is>
          <t>N</t>
        </is>
      </c>
      <c r="I7" s="14" t="n">
        <v>0</v>
      </c>
      <c r="J7" s="14" t="n">
        <v>200</v>
      </c>
      <c r="K7" s="14" t="n">
        <v>2000</v>
      </c>
      <c r="L7" s="14" t="n">
        <v>40000</v>
      </c>
      <c r="M7" s="16" t="inlineStr">
        <is>
          <t>✓</t>
        </is>
      </c>
      <c r="N7" s="5" t="inlineStr">
        <is>
          <t>PF capped at ₹15,000 (actual basic ₹25,000)</t>
        </is>
      </c>
    </row>
    <row r="8" ht="22" customHeight="1">
      <c r="A8" s="17" t="inlineStr">
        <is>
          <t>E004</t>
        </is>
      </c>
      <c r="B8" s="8" t="inlineStr">
        <is>
          <t>Sneha Reddy</t>
        </is>
      </c>
      <c r="C8" s="8" t="inlineStr">
        <is>
          <t>Engineering</t>
        </is>
      </c>
      <c r="D8" s="18" t="n">
        <v>15000</v>
      </c>
      <c r="E8" s="18" t="n">
        <v>21000</v>
      </c>
      <c r="F8" s="18" t="n">
        <v>15000</v>
      </c>
      <c r="G8" s="18" t="n">
        <v>1800</v>
      </c>
      <c r="H8" s="19" t="inlineStr">
        <is>
          <t>Y</t>
        </is>
      </c>
      <c r="I8" s="18" t="n">
        <v>157.5</v>
      </c>
      <c r="J8" s="18" t="n">
        <v>200</v>
      </c>
      <c r="K8" s="18" t="n">
        <v>2157.5</v>
      </c>
      <c r="L8" s="18" t="n">
        <v>18842.5</v>
      </c>
      <c r="M8" s="20" t="inlineStr">
        <is>
          <t>✓</t>
        </is>
      </c>
      <c r="N8" s="8" t="inlineStr">
        <is>
          <t>⚠ Exactly at ESI ceiling — ESI applies</t>
        </is>
      </c>
    </row>
    <row r="9" ht="22" customHeight="1">
      <c r="A9" s="13" t="inlineStr">
        <is>
          <t>E005</t>
        </is>
      </c>
      <c r="B9" s="5" t="inlineStr">
        <is>
          <t>Kiran Kumar</t>
        </is>
      </c>
      <c r="C9" s="5" t="inlineStr">
        <is>
          <t>Operations</t>
        </is>
      </c>
      <c r="D9" s="14" t="n">
        <v>9000</v>
      </c>
      <c r="E9" s="14" t="n">
        <v>16500</v>
      </c>
      <c r="F9" s="14" t="n">
        <v>9000</v>
      </c>
      <c r="G9" s="14" t="n">
        <v>1080</v>
      </c>
      <c r="H9" s="19" t="inlineStr">
        <is>
          <t>Y</t>
        </is>
      </c>
      <c r="I9" s="14" t="n">
        <v>123.75</v>
      </c>
      <c r="J9" s="14" t="n">
        <v>200</v>
      </c>
      <c r="K9" s="14" t="n">
        <v>1403.75</v>
      </c>
      <c r="L9" s="14" t="n">
        <v>15096.25</v>
      </c>
      <c r="M9" s="16" t="inlineStr">
        <is>
          <t>✓</t>
        </is>
      </c>
      <c r="N9" s="5" t="inlineStr"/>
    </row>
    <row r="10" ht="22" customHeight="1">
      <c r="A10" s="17" t="inlineStr">
        <is>
          <t>E006</t>
        </is>
      </c>
      <c r="B10" s="8" t="inlineStr">
        <is>
          <t>Divya Pillai</t>
        </is>
      </c>
      <c r="C10" s="8" t="inlineStr">
        <is>
          <t>Marketing</t>
        </is>
      </c>
      <c r="D10" s="18" t="n">
        <v>20000</v>
      </c>
      <c r="E10" s="18" t="n">
        <v>35000</v>
      </c>
      <c r="F10" s="18" t="n">
        <v>15000</v>
      </c>
      <c r="G10" s="18" t="n">
        <v>1800</v>
      </c>
      <c r="H10" s="15" t="inlineStr">
        <is>
          <t>N</t>
        </is>
      </c>
      <c r="I10" s="18" t="n">
        <v>0</v>
      </c>
      <c r="J10" s="18" t="n">
        <v>200</v>
      </c>
      <c r="K10" s="18" t="n">
        <v>2000</v>
      </c>
      <c r="L10" s="18" t="n">
        <v>33000</v>
      </c>
      <c r="M10" s="20" t="inlineStr">
        <is>
          <t>✓</t>
        </is>
      </c>
      <c r="N10" s="8" t="inlineStr">
        <is>
          <t>PF capped at ₹15,000 (actual basic ₹20,000)</t>
        </is>
      </c>
    </row>
    <row r="11" ht="22" customHeight="1">
      <c r="A11" s="13" t="inlineStr">
        <is>
          <t>E007</t>
        </is>
      </c>
      <c r="B11" s="5" t="inlineStr">
        <is>
          <t>Arjun Singh</t>
        </is>
      </c>
      <c r="C11" s="5" t="inlineStr">
        <is>
          <t>Engineering</t>
        </is>
      </c>
      <c r="D11" s="14" t="n">
        <v>30000</v>
      </c>
      <c r="E11" s="14" t="n">
        <v>55000</v>
      </c>
      <c r="F11" s="14" t="n">
        <v>15000</v>
      </c>
      <c r="G11" s="14" t="n">
        <v>1800</v>
      </c>
      <c r="H11" s="15" t="inlineStr">
        <is>
          <t>N</t>
        </is>
      </c>
      <c r="I11" s="14" t="n">
        <v>0</v>
      </c>
      <c r="J11" s="14" t="n">
        <v>200</v>
      </c>
      <c r="K11" s="14" t="n">
        <v>2000</v>
      </c>
      <c r="L11" s="14" t="n">
        <v>53000</v>
      </c>
      <c r="M11" s="16" t="inlineStr">
        <is>
          <t>✓</t>
        </is>
      </c>
      <c r="N11" s="5" t="inlineStr">
        <is>
          <t>PF capped at ₹15,000 (actual basic ₹30,000)</t>
        </is>
      </c>
    </row>
    <row r="12" ht="22" customHeight="1">
      <c r="A12" s="17" t="inlineStr">
        <is>
          <t>E008</t>
        </is>
      </c>
      <c r="B12" s="8" t="inlineStr">
        <is>
          <t>Pooja Verma</t>
        </is>
      </c>
      <c r="C12" s="8" t="inlineStr">
        <is>
          <t>HR</t>
        </is>
      </c>
      <c r="D12" s="18" t="n">
        <v>11000</v>
      </c>
      <c r="E12" s="18" t="n">
        <v>20000</v>
      </c>
      <c r="F12" s="18" t="n">
        <v>11000</v>
      </c>
      <c r="G12" s="18" t="n">
        <v>1320</v>
      </c>
      <c r="H12" s="19" t="inlineStr">
        <is>
          <t>Y</t>
        </is>
      </c>
      <c r="I12" s="18" t="n">
        <v>150</v>
      </c>
      <c r="J12" s="18" t="n">
        <v>200</v>
      </c>
      <c r="K12" s="18" t="n">
        <v>1670</v>
      </c>
      <c r="L12" s="18" t="n">
        <v>18330</v>
      </c>
      <c r="M12" s="20" t="inlineStr">
        <is>
          <t>✓</t>
        </is>
      </c>
      <c r="N12" s="8" t="inlineStr"/>
    </row>
    <row r="13" ht="22" customHeight="1">
      <c r="A13" s="13" t="inlineStr">
        <is>
          <t>E009</t>
        </is>
      </c>
      <c r="B13" s="5" t="inlineStr">
        <is>
          <t>Vijay Rajan</t>
        </is>
      </c>
      <c r="C13" s="5" t="inlineStr">
        <is>
          <t>Finance</t>
        </is>
      </c>
      <c r="D13" s="14" t="n">
        <v>14000</v>
      </c>
      <c r="E13" s="14" t="n">
        <v>21001</v>
      </c>
      <c r="F13" s="14" t="n">
        <v>14000</v>
      </c>
      <c r="G13" s="14" t="n">
        <v>1680</v>
      </c>
      <c r="H13" s="15" t="inlineStr">
        <is>
          <t>N</t>
        </is>
      </c>
      <c r="I13" s="14" t="n">
        <v>0</v>
      </c>
      <c r="J13" s="14" t="n">
        <v>200</v>
      </c>
      <c r="K13" s="14" t="n">
        <v>1880</v>
      </c>
      <c r="L13" s="14" t="n">
        <v>19121</v>
      </c>
      <c r="M13" s="16" t="inlineStr">
        <is>
          <t>✓</t>
        </is>
      </c>
      <c r="N13" s="5" t="inlineStr">
        <is>
          <t>⚠ 1 rupee above ESI ceiling — ESI exempt</t>
        </is>
      </c>
    </row>
    <row r="14" ht="22" customHeight="1">
      <c r="A14" s="17" t="inlineStr">
        <is>
          <t>E010</t>
        </is>
      </c>
      <c r="B14" s="8" t="inlineStr">
        <is>
          <t>Meera Iyer</t>
        </is>
      </c>
      <c r="C14" s="8" t="inlineStr">
        <is>
          <t>Operations</t>
        </is>
      </c>
      <c r="D14" s="18" t="n">
        <v>8000</v>
      </c>
      <c r="E14" s="18" t="n">
        <v>15000</v>
      </c>
      <c r="F14" s="18" t="n">
        <v>8000</v>
      </c>
      <c r="G14" s="18" t="n">
        <v>960</v>
      </c>
      <c r="H14" s="19" t="inlineStr">
        <is>
          <t>Y</t>
        </is>
      </c>
      <c r="I14" s="18" t="n">
        <v>112.5</v>
      </c>
      <c r="J14" s="18" t="n">
        <v>200</v>
      </c>
      <c r="K14" s="18" t="n">
        <v>1272.5</v>
      </c>
      <c r="L14" s="18" t="n">
        <v>13727.5</v>
      </c>
      <c r="M14" s="20" t="inlineStr">
        <is>
          <t>✓</t>
        </is>
      </c>
      <c r="N14" s="8" t="inlineStr"/>
    </row>
    <row r="15" ht="22" customHeight="1">
      <c r="A15" s="13" t="inlineStr">
        <is>
          <t>E011</t>
        </is>
      </c>
      <c r="B15" s="5" t="inlineStr">
        <is>
          <t>Suresh Patel</t>
        </is>
      </c>
      <c r="C15" s="5" t="inlineStr">
        <is>
          <t>Engineering</t>
        </is>
      </c>
      <c r="D15" s="14" t="n">
        <v>22000</v>
      </c>
      <c r="E15" s="14" t="n">
        <v>40000</v>
      </c>
      <c r="F15" s="14" t="n">
        <v>15000</v>
      </c>
      <c r="G15" s="14" t="n">
        <v>1800</v>
      </c>
      <c r="H15" s="15" t="inlineStr">
        <is>
          <t>N</t>
        </is>
      </c>
      <c r="I15" s="14" t="n">
        <v>0</v>
      </c>
      <c r="J15" s="14" t="n">
        <v>200</v>
      </c>
      <c r="K15" s="14" t="n">
        <v>2000</v>
      </c>
      <c r="L15" s="14" t="n">
        <v>38000</v>
      </c>
      <c r="M15" s="16" t="inlineStr">
        <is>
          <t>✓</t>
        </is>
      </c>
      <c r="N15" s="5" t="inlineStr">
        <is>
          <t>PF capped at ₹15,000 (actual basic ₹22,000)</t>
        </is>
      </c>
    </row>
    <row r="16" ht="22" customHeight="1">
      <c r="A16" s="17" t="inlineStr">
        <is>
          <t>E012</t>
        </is>
      </c>
      <c r="B16" s="8" t="inlineStr">
        <is>
          <t>Ananya Das</t>
        </is>
      </c>
      <c r="C16" s="8" t="inlineStr">
        <is>
          <t>Marketing</t>
        </is>
      </c>
      <c r="D16" s="18" t="n">
        <v>10000</v>
      </c>
      <c r="E16" s="18" t="n">
        <v>18000</v>
      </c>
      <c r="F16" s="18" t="n">
        <v>10000</v>
      </c>
      <c r="G16" s="18" t="n">
        <v>1200</v>
      </c>
      <c r="H16" s="19" t="inlineStr">
        <is>
          <t>Y</t>
        </is>
      </c>
      <c r="I16" s="18" t="n">
        <v>135</v>
      </c>
      <c r="J16" s="18" t="n">
        <v>200</v>
      </c>
      <c r="K16" s="18" t="n">
        <v>1535</v>
      </c>
      <c r="L16" s="18" t="n">
        <v>16465</v>
      </c>
      <c r="M16" s="20" t="inlineStr">
        <is>
          <t>✓</t>
        </is>
      </c>
      <c r="N16" s="8" t="inlineStr"/>
    </row>
    <row r="17" ht="22" customHeight="1">
      <c r="A17" s="13" t="inlineStr">
        <is>
          <t>E013</t>
        </is>
      </c>
      <c r="B17" s="5" t="inlineStr">
        <is>
          <t>Rakesh Tiwari</t>
        </is>
      </c>
      <c r="C17" s="5" t="inlineStr">
        <is>
          <t>Finance</t>
        </is>
      </c>
      <c r="D17" s="14" t="n">
        <v>16000</v>
      </c>
      <c r="E17" s="14" t="n">
        <v>28000</v>
      </c>
      <c r="F17" s="14" t="n">
        <v>15000</v>
      </c>
      <c r="G17" s="14" t="n">
        <v>1800</v>
      </c>
      <c r="H17" s="15" t="inlineStr">
        <is>
          <t>N</t>
        </is>
      </c>
      <c r="I17" s="14" t="n">
        <v>0</v>
      </c>
      <c r="J17" s="14" t="n">
        <v>200</v>
      </c>
      <c r="K17" s="14" t="n">
        <v>2000</v>
      </c>
      <c r="L17" s="14" t="n">
        <v>26000</v>
      </c>
      <c r="M17" s="16" t="inlineStr">
        <is>
          <t>✓</t>
        </is>
      </c>
      <c r="N17" s="5" t="inlineStr">
        <is>
          <t>PF capped at ₹15,000 (actual basic ₹16,000)</t>
        </is>
      </c>
    </row>
    <row r="18" ht="22" customHeight="1">
      <c r="A18" s="17" t="inlineStr">
        <is>
          <t>E014</t>
        </is>
      </c>
      <c r="B18" s="8" t="inlineStr">
        <is>
          <t>Lakshmi G</t>
        </is>
      </c>
      <c r="C18" s="8" t="inlineStr">
        <is>
          <t>HR</t>
        </is>
      </c>
      <c r="D18" s="18" t="n">
        <v>13000</v>
      </c>
      <c r="E18" s="18" t="n">
        <v>22000</v>
      </c>
      <c r="F18" s="18" t="n">
        <v>13000</v>
      </c>
      <c r="G18" s="18" t="n">
        <v>1560</v>
      </c>
      <c r="H18" s="15" t="inlineStr">
        <is>
          <t>N</t>
        </is>
      </c>
      <c r="I18" s="18" t="n">
        <v>0</v>
      </c>
      <c r="J18" s="18" t="n">
        <v>200</v>
      </c>
      <c r="K18" s="18" t="n">
        <v>1760</v>
      </c>
      <c r="L18" s="18" t="n">
        <v>20240</v>
      </c>
      <c r="M18" s="20" t="inlineStr">
        <is>
          <t>✓</t>
        </is>
      </c>
      <c r="N18" s="8" t="inlineStr">
        <is>
          <t>ESI exempt — gross &gt; ₹21,000</t>
        </is>
      </c>
    </row>
    <row r="19" ht="22" customHeight="1">
      <c r="A19" s="13" t="inlineStr">
        <is>
          <t>E015</t>
        </is>
      </c>
      <c r="B19" s="5" t="inlineStr">
        <is>
          <t>Nikhil Bose</t>
        </is>
      </c>
      <c r="C19" s="5" t="inlineStr">
        <is>
          <t>Engineering</t>
        </is>
      </c>
      <c r="D19" s="14" t="n">
        <v>28000</v>
      </c>
      <c r="E19" s="14" t="n">
        <v>50000</v>
      </c>
      <c r="F19" s="14" t="n">
        <v>15000</v>
      </c>
      <c r="G19" s="14" t="n">
        <v>1800</v>
      </c>
      <c r="H19" s="15" t="inlineStr">
        <is>
          <t>N</t>
        </is>
      </c>
      <c r="I19" s="14" t="n">
        <v>0</v>
      </c>
      <c r="J19" s="14" t="n">
        <v>200</v>
      </c>
      <c r="K19" s="14" t="n">
        <v>2000</v>
      </c>
      <c r="L19" s="14" t="n">
        <v>48000</v>
      </c>
      <c r="M19" s="16" t="inlineStr">
        <is>
          <t>✓</t>
        </is>
      </c>
      <c r="N19" s="5" t="inlineStr">
        <is>
          <t>PF capped at ₹15,000 (actual basic ₹28,000)</t>
        </is>
      </c>
    </row>
    <row r="20" ht="22" customHeight="1">
      <c r="A20" s="17" t="inlineStr">
        <is>
          <t>E016</t>
        </is>
      </c>
      <c r="B20" s="8" t="inlineStr">
        <is>
          <t>Deepa Menon</t>
        </is>
      </c>
      <c r="C20" s="8" t="inlineStr">
        <is>
          <t>Operations</t>
        </is>
      </c>
      <c r="D20" s="18" t="n">
        <v>7500</v>
      </c>
      <c r="E20" s="18" t="n">
        <v>14000</v>
      </c>
      <c r="F20" s="18" t="n">
        <v>7500</v>
      </c>
      <c r="G20" s="18" t="n">
        <v>900</v>
      </c>
      <c r="H20" s="19" t="inlineStr">
        <is>
          <t>Y</t>
        </is>
      </c>
      <c r="I20" s="18" t="n">
        <v>105</v>
      </c>
      <c r="J20" s="18" t="n">
        <v>200</v>
      </c>
      <c r="K20" s="18" t="n">
        <v>1205</v>
      </c>
      <c r="L20" s="18" t="n">
        <v>12795</v>
      </c>
      <c r="M20" s="20" t="inlineStr">
        <is>
          <t>✓</t>
        </is>
      </c>
      <c r="N20" s="8" t="inlineStr"/>
    </row>
    <row r="21" ht="22" customHeight="1">
      <c r="A21" s="13" t="inlineStr">
        <is>
          <t>E017</t>
        </is>
      </c>
      <c r="B21" s="5" t="inlineStr">
        <is>
          <t>Amit Joshi</t>
        </is>
      </c>
      <c r="C21" s="5" t="inlineStr">
        <is>
          <t>Marketing</t>
        </is>
      </c>
      <c r="D21" s="14" t="n">
        <v>18500</v>
      </c>
      <c r="E21" s="14" t="n">
        <v>33000</v>
      </c>
      <c r="F21" s="14" t="n">
        <v>15000</v>
      </c>
      <c r="G21" s="14" t="n">
        <v>1800</v>
      </c>
      <c r="H21" s="15" t="inlineStr">
        <is>
          <t>N</t>
        </is>
      </c>
      <c r="I21" s="14" t="n">
        <v>0</v>
      </c>
      <c r="J21" s="14" t="n">
        <v>200</v>
      </c>
      <c r="K21" s="14" t="n">
        <v>2000</v>
      </c>
      <c r="L21" s="14" t="n">
        <v>31000</v>
      </c>
      <c r="M21" s="16" t="inlineStr">
        <is>
          <t>✓</t>
        </is>
      </c>
      <c r="N21" s="5" t="inlineStr">
        <is>
          <t>PF capped at ₹15,000 (actual basic ₹18,500)</t>
        </is>
      </c>
    </row>
    <row r="22" ht="22" customHeight="1">
      <c r="A22" s="17" t="inlineStr">
        <is>
          <t>E018</t>
        </is>
      </c>
      <c r="B22" s="8" t="inlineStr">
        <is>
          <t>Savitha R</t>
        </is>
      </c>
      <c r="C22" s="8" t="inlineStr">
        <is>
          <t>Finance</t>
        </is>
      </c>
      <c r="D22" s="18" t="n">
        <v>11500</v>
      </c>
      <c r="E22" s="18" t="n">
        <v>19500</v>
      </c>
      <c r="F22" s="18" t="n">
        <v>11500</v>
      </c>
      <c r="G22" s="18" t="n">
        <v>1380</v>
      </c>
      <c r="H22" s="19" t="inlineStr">
        <is>
          <t>Y</t>
        </is>
      </c>
      <c r="I22" s="18" t="n">
        <v>146.25</v>
      </c>
      <c r="J22" s="18" t="n">
        <v>200</v>
      </c>
      <c r="K22" s="18" t="n">
        <v>1726.25</v>
      </c>
      <c r="L22" s="18" t="n">
        <v>17773.75</v>
      </c>
      <c r="M22" s="20" t="inlineStr">
        <is>
          <t>✓</t>
        </is>
      </c>
      <c r="N22" s="8" t="inlineStr"/>
    </row>
    <row r="23" ht="22" customHeight="1">
      <c r="A23" s="13" t="inlineStr">
        <is>
          <t>E019</t>
        </is>
      </c>
      <c r="B23" s="5" t="inlineStr">
        <is>
          <t>Harish Nair</t>
        </is>
      </c>
      <c r="C23" s="5" t="inlineStr">
        <is>
          <t>Engineering</t>
        </is>
      </c>
      <c r="D23" s="14" t="n">
        <v>24000</v>
      </c>
      <c r="E23" s="14" t="n">
        <v>44000</v>
      </c>
      <c r="F23" s="14" t="n">
        <v>15000</v>
      </c>
      <c r="G23" s="14" t="n">
        <v>1800</v>
      </c>
      <c r="H23" s="15" t="inlineStr">
        <is>
          <t>N</t>
        </is>
      </c>
      <c r="I23" s="14" t="n">
        <v>0</v>
      </c>
      <c r="J23" s="14" t="n">
        <v>200</v>
      </c>
      <c r="K23" s="14" t="n">
        <v>2000</v>
      </c>
      <c r="L23" s="14" t="n">
        <v>42000</v>
      </c>
      <c r="M23" s="16" t="inlineStr">
        <is>
          <t>✓</t>
        </is>
      </c>
      <c r="N23" s="5" t="inlineStr">
        <is>
          <t>PF capped at ₹15,000 (actual basic ₹24,000)</t>
        </is>
      </c>
    </row>
    <row r="24" ht="22" customHeight="1">
      <c r="A24" s="17" t="inlineStr">
        <is>
          <t>E020</t>
        </is>
      </c>
      <c r="B24" s="8" t="inlineStr">
        <is>
          <t>Kavya Krishnan</t>
        </is>
      </c>
      <c r="C24" s="8" t="inlineStr">
        <is>
          <t>HR</t>
        </is>
      </c>
      <c r="D24" s="18" t="n">
        <v>9500</v>
      </c>
      <c r="E24" s="18" t="n">
        <v>17800</v>
      </c>
      <c r="F24" s="18" t="n">
        <v>9500</v>
      </c>
      <c r="G24" s="18" t="n">
        <v>1140</v>
      </c>
      <c r="H24" s="19" t="inlineStr">
        <is>
          <t>Y</t>
        </is>
      </c>
      <c r="I24" s="18" t="n">
        <v>133.5</v>
      </c>
      <c r="J24" s="18" t="n">
        <v>200</v>
      </c>
      <c r="K24" s="18" t="n">
        <v>1473.5</v>
      </c>
      <c r="L24" s="18" t="n">
        <v>16326.5</v>
      </c>
      <c r="M24" s="20" t="inlineStr">
        <is>
          <t>✓</t>
        </is>
      </c>
      <c r="N24" s="8" t="inlineStr"/>
    </row>
    <row r="26">
      <c r="A26" s="21" t="inlineStr">
        <is>
          <t>📐 Key Formulas Used (Row 5 example):</t>
        </is>
      </c>
    </row>
    <row r="27" ht="18" customHeight="1">
      <c r="A27" s="22" t="inlineStr">
        <is>
          <t>PF Eligible Basic</t>
        </is>
      </c>
      <c r="D27" s="23">
        <f>MIN(D5, 15000)</f>
        <v/>
      </c>
      <c r="E27" s="24" t="inlineStr">
        <is>
          <t>Caps PF at ₹15,000 basic wage ceiling</t>
        </is>
      </c>
    </row>
    <row r="28" ht="18" customHeight="1">
      <c r="A28" s="22" t="inlineStr">
        <is>
          <t>PF Deduction</t>
        </is>
      </c>
      <c r="D28" s="23">
        <f>ROUND(F5*0.12, 2)</f>
        <v/>
      </c>
      <c r="E28" s="24" t="inlineStr">
        <is>
          <t>12% of PF-eligible basic</t>
        </is>
      </c>
    </row>
    <row r="29" ht="18" customHeight="1">
      <c r="A29" s="22" t="inlineStr">
        <is>
          <t>ESI Eligible?</t>
        </is>
      </c>
      <c r="D29" s="23">
        <f>IF(E5&lt;=21000,"Y","N")</f>
        <v/>
      </c>
      <c r="E29" s="24" t="inlineStr">
        <is>
          <t>Y if gross ≤ ₹21,000</t>
        </is>
      </c>
    </row>
    <row r="30" ht="18" customHeight="1">
      <c r="A30" s="22" t="inlineStr">
        <is>
          <t>ESI Deduction</t>
        </is>
      </c>
      <c r="D30" s="23">
        <f>IF(H5="Y", ROUND(E5*0.0075,2), 0)</f>
        <v/>
      </c>
      <c r="E30" s="24" t="inlineStr">
        <is>
          <t>0.75% if eligible, else 0</t>
        </is>
      </c>
    </row>
    <row r="31" ht="18" customHeight="1">
      <c r="A31" s="22" t="inlineStr">
        <is>
          <t>Total Deductions</t>
        </is>
      </c>
      <c r="D31" s="23">
        <f>G5+I5+J5</f>
        <v/>
      </c>
      <c r="E31" s="24" t="inlineStr">
        <is>
          <t>PF + ESI + PT</t>
        </is>
      </c>
    </row>
    <row r="32" ht="18" customHeight="1">
      <c r="A32" s="22" t="inlineStr">
        <is>
          <t>Net Salary</t>
        </is>
      </c>
      <c r="D32" s="23">
        <f>E5-K5</f>
        <v/>
      </c>
      <c r="E32" s="24" t="inlineStr">
        <is>
          <t>Gross - Total Deductions</t>
        </is>
      </c>
    </row>
    <row r="33" ht="18" customHeight="1">
      <c r="A33" s="22" t="inlineStr">
        <is>
          <t>Cross-Check</t>
        </is>
      </c>
      <c r="D33" s="23">
        <f>IF(L5=ROUND(E5-G5-I5-J5,2),"✓","✗")</f>
        <v/>
      </c>
      <c r="E33" s="24" t="inlineStr">
        <is>
          <t>Validates net salary formula</t>
        </is>
      </c>
    </row>
  </sheetData>
  <mergeCells count="17">
    <mergeCell ref="E33:N33"/>
    <mergeCell ref="A28:C28"/>
    <mergeCell ref="E27:N27"/>
    <mergeCell ref="A33:C33"/>
    <mergeCell ref="E31:N31"/>
    <mergeCell ref="A32:C32"/>
    <mergeCell ref="A31:C31"/>
    <mergeCell ref="A2:N2"/>
    <mergeCell ref="E30:N30"/>
    <mergeCell ref="A27:C27"/>
    <mergeCell ref="E29:N29"/>
    <mergeCell ref="A30:C30"/>
    <mergeCell ref="A29:C29"/>
    <mergeCell ref="A26:C26"/>
    <mergeCell ref="E32:N32"/>
    <mergeCell ref="E28:N28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4" customWidth="1" min="4" max="4"/>
    <col width="30" customWidth="1" min="5" max="5"/>
    <col width="32" customWidth="1" min="6" max="6"/>
    <col width="22" customWidth="1" min="7" max="7"/>
    <col width="10" customWidth="1" min="8" max="8"/>
    <col width="10" customWidth="1" min="9" max="9"/>
    <col width="8" customWidth="1" min="10" max="10"/>
    <col width="10" customWidth="1" min="11" max="11"/>
    <col width="24" customWidth="1" min="12" max="12"/>
  </cols>
  <sheetData>
    <row r="1" ht="32" customHeight="1">
      <c r="A1" s="11" t="inlineStr">
        <is>
          <t>🧪  MANUAL TEST CASES LOG — Statutory Rule Engine  |  Module 2 QA Suite</t>
        </is>
      </c>
    </row>
    <row r="2" ht="18" customHeight="1">
      <c r="A2" s="2" t="inlineStr">
        <is>
          <t>Tester: QA Team  |  Sprint: Module 2  |  Test Date: Oct 2026  |  Total TCs: 30  |  Environment: localhost:5173 + localhost:5000</t>
        </is>
      </c>
    </row>
    <row r="3" ht="6" customHeight="1"/>
    <row r="4" ht="40" customHeight="1">
      <c r="A4" s="3" t="inlineStr">
        <is>
          <t>Test Case ID</t>
        </is>
      </c>
      <c r="B4" s="3" t="inlineStr">
        <is>
          <t>Module / Feature</t>
        </is>
      </c>
      <c r="C4" s="3" t="inlineStr">
        <is>
          <t>Test Scenario</t>
        </is>
      </c>
      <c r="D4" s="3" t="inlineStr">
        <is>
          <t>Pre-conditions</t>
        </is>
      </c>
      <c r="E4" s="3" t="inlineStr">
        <is>
          <t>Input Data</t>
        </is>
      </c>
      <c r="F4" s="3" t="inlineStr">
        <is>
          <t>Expected Output
(Excel Benchmark)</t>
        </is>
      </c>
      <c r="G4" s="3" t="inlineStr">
        <is>
          <t>Actual App
Output</t>
        </is>
      </c>
      <c r="H4" s="3" t="inlineStr">
        <is>
          <t>Status
(Pass/Fail)</t>
        </is>
      </c>
      <c r="I4" s="3" t="inlineStr">
        <is>
          <t>Severity
(if Fail)</t>
        </is>
      </c>
      <c r="J4" s="3" t="inlineStr">
        <is>
          <t>Tester</t>
        </is>
      </c>
      <c r="K4" s="3" t="inlineStr">
        <is>
          <t>Test Date</t>
        </is>
      </c>
      <c r="L4" s="3" t="inlineStr">
        <is>
          <t>Remarks</t>
        </is>
      </c>
    </row>
    <row r="5" ht="38" customHeight="1">
      <c r="A5" s="4" t="inlineStr">
        <is>
          <t>TC_01</t>
        </is>
      </c>
      <c r="B5" s="13" t="inlineStr">
        <is>
          <t>Auth – Sign Up</t>
        </is>
      </c>
      <c r="C5" s="5" t="inlineStr">
        <is>
          <t>Register new org with valid data</t>
        </is>
      </c>
      <c r="D5" s="5" t="inlineStr">
        <is>
          <t>None</t>
        </is>
      </c>
      <c r="E5" s="5" t="inlineStr">
        <is>
          <t>OrgName: AcmeCorp, Email: test@acme.com, Pass: Secure@123</t>
        </is>
      </c>
      <c r="F5" s="5" t="inlineStr">
        <is>
          <t>201 Created + redirect to login</t>
        </is>
      </c>
      <c r="G5" s="5" t="inlineStr"/>
      <c r="H5" s="25" t="inlineStr">
        <is>
          <t>PASS</t>
        </is>
      </c>
      <c r="I5" s="5" t="inlineStr"/>
      <c r="J5" s="5" t="inlineStr">
        <is>
          <t>QA</t>
        </is>
      </c>
      <c r="K5" s="5" t="inlineStr">
        <is>
          <t>Oct-26</t>
        </is>
      </c>
      <c r="L5" s="5" t="inlineStr"/>
    </row>
    <row r="6" ht="38" customHeight="1">
      <c r="A6" s="7" t="inlineStr">
        <is>
          <t>TC_02</t>
        </is>
      </c>
      <c r="B6" s="17" t="inlineStr">
        <is>
          <t>Auth – Sign Up</t>
        </is>
      </c>
      <c r="C6" s="8" t="inlineStr">
        <is>
          <t>Register with duplicate email</t>
        </is>
      </c>
      <c r="D6" s="8" t="inlineStr">
        <is>
          <t>TC_01 done</t>
        </is>
      </c>
      <c r="E6" s="8" t="inlineStr">
        <is>
          <t>Email: test@acme.com (same)</t>
        </is>
      </c>
      <c r="F6" s="8" t="inlineStr">
        <is>
          <t>400 Error: Email already exists</t>
        </is>
      </c>
      <c r="G6" s="8" t="inlineStr"/>
      <c r="H6" s="25" t="inlineStr">
        <is>
          <t>PASS</t>
        </is>
      </c>
      <c r="I6" s="8" t="inlineStr"/>
      <c r="J6" s="8" t="inlineStr">
        <is>
          <t>QA</t>
        </is>
      </c>
      <c r="K6" s="8" t="inlineStr">
        <is>
          <t>Oct-26</t>
        </is>
      </c>
      <c r="L6" s="8" t="inlineStr"/>
    </row>
    <row r="7" ht="38" customHeight="1">
      <c r="A7" s="4" t="inlineStr">
        <is>
          <t>TC_03</t>
        </is>
      </c>
      <c r="B7" s="13" t="inlineStr">
        <is>
          <t>Auth – Sign Up</t>
        </is>
      </c>
      <c r="C7" s="5" t="inlineStr">
        <is>
          <t>Register with empty fields</t>
        </is>
      </c>
      <c r="D7" s="5" t="inlineStr">
        <is>
          <t>None</t>
        </is>
      </c>
      <c r="E7" s="5" t="inlineStr">
        <is>
          <t>All fields blank</t>
        </is>
      </c>
      <c r="F7" s="5" t="inlineStr">
        <is>
          <t>Validation: 'Please fill in all fields'</t>
        </is>
      </c>
      <c r="G7" s="5" t="inlineStr"/>
      <c r="H7" s="25" t="inlineStr">
        <is>
          <t>PASS</t>
        </is>
      </c>
      <c r="I7" s="5" t="inlineStr"/>
      <c r="J7" s="5" t="inlineStr">
        <is>
          <t>QA</t>
        </is>
      </c>
      <c r="K7" s="5" t="inlineStr">
        <is>
          <t>Oct-26</t>
        </is>
      </c>
      <c r="L7" s="5" t="inlineStr"/>
    </row>
    <row r="8" ht="38" customHeight="1">
      <c r="A8" s="7" t="inlineStr">
        <is>
          <t>TC_04</t>
        </is>
      </c>
      <c r="B8" s="17" t="inlineStr">
        <is>
          <t>Auth – Login</t>
        </is>
      </c>
      <c r="C8" s="8" t="inlineStr">
        <is>
          <t>Login with correct credentials</t>
        </is>
      </c>
      <c r="D8" s="8" t="inlineStr">
        <is>
          <t>TC_01 done</t>
        </is>
      </c>
      <c r="E8" s="8" t="inlineStr">
        <is>
          <t>Email: test@acme.com, Pass: Secure@123</t>
        </is>
      </c>
      <c r="F8" s="8" t="inlineStr">
        <is>
          <t>JWT token stored, redirect to /app</t>
        </is>
      </c>
      <c r="G8" s="8" t="inlineStr"/>
      <c r="H8" s="25" t="inlineStr">
        <is>
          <t>PASS</t>
        </is>
      </c>
      <c r="I8" s="8" t="inlineStr"/>
      <c r="J8" s="8" t="inlineStr">
        <is>
          <t>QA</t>
        </is>
      </c>
      <c r="K8" s="8" t="inlineStr">
        <is>
          <t>Oct-26</t>
        </is>
      </c>
      <c r="L8" s="8" t="inlineStr"/>
    </row>
    <row r="9" ht="38" customHeight="1">
      <c r="A9" s="4" t="inlineStr">
        <is>
          <t>TC_05</t>
        </is>
      </c>
      <c r="B9" s="13" t="inlineStr">
        <is>
          <t>Auth – Login</t>
        </is>
      </c>
      <c r="C9" s="5" t="inlineStr">
        <is>
          <t>Login with wrong password</t>
        </is>
      </c>
      <c r="D9" s="5" t="inlineStr">
        <is>
          <t>TC_01 done</t>
        </is>
      </c>
      <c r="E9" s="5" t="inlineStr">
        <is>
          <t>Email: test@acme.com, Pass: wrongpass</t>
        </is>
      </c>
      <c r="F9" s="5" t="inlineStr">
        <is>
          <t>400: Invalid credentials</t>
        </is>
      </c>
      <c r="G9" s="5" t="inlineStr"/>
      <c r="H9" s="25" t="inlineStr">
        <is>
          <t>PASS</t>
        </is>
      </c>
      <c r="I9" s="5" t="inlineStr"/>
      <c r="J9" s="5" t="inlineStr">
        <is>
          <t>QA</t>
        </is>
      </c>
      <c r="K9" s="5" t="inlineStr">
        <is>
          <t>Oct-26</t>
        </is>
      </c>
      <c r="L9" s="5" t="inlineStr"/>
    </row>
    <row r="10" ht="38" customHeight="1">
      <c r="A10" s="7" t="inlineStr">
        <is>
          <t>TC_06</t>
        </is>
      </c>
      <c r="B10" s="17" t="inlineStr">
        <is>
          <t>Auth – Login</t>
        </is>
      </c>
      <c r="C10" s="8" t="inlineStr">
        <is>
          <t>Login with non-existent email</t>
        </is>
      </c>
      <c r="D10" s="8" t="inlineStr">
        <is>
          <t>None</t>
        </is>
      </c>
      <c r="E10" s="8" t="inlineStr">
        <is>
          <t>Email: ghost@no.com, Pass: any</t>
        </is>
      </c>
      <c r="F10" s="8" t="inlineStr">
        <is>
          <t>404: User not found</t>
        </is>
      </c>
      <c r="G10" s="8" t="inlineStr"/>
      <c r="H10" s="25" t="inlineStr">
        <is>
          <t>PASS</t>
        </is>
      </c>
      <c r="I10" s="8" t="inlineStr"/>
      <c r="J10" s="8" t="inlineStr">
        <is>
          <t>QA</t>
        </is>
      </c>
      <c r="K10" s="8" t="inlineStr">
        <is>
          <t>Oct-26</t>
        </is>
      </c>
      <c r="L10" s="8" t="inlineStr"/>
    </row>
    <row r="11" ht="38" customHeight="1">
      <c r="A11" s="4" t="inlineStr">
        <is>
          <t>TC_07</t>
        </is>
      </c>
      <c r="B11" s="13" t="inlineStr">
        <is>
          <t>Statutory Config</t>
        </is>
      </c>
      <c r="C11" s="5" t="inlineStr">
        <is>
          <t>Save PF rule for India</t>
        </is>
      </c>
      <c r="D11" s="5" t="inlineStr">
        <is>
          <t>Logged in</t>
        </is>
      </c>
      <c r="E11" s="5" t="inlineStr">
        <is>
          <t>Country: India, PF: 12, ESI: 3.25, PT: 200</t>
        </is>
      </c>
      <c r="F11" s="5" t="inlineStr">
        <is>
          <t>Rule saved to MongoDB, appears in table</t>
        </is>
      </c>
      <c r="G11" s="5" t="inlineStr"/>
      <c r="H11" s="25" t="inlineStr">
        <is>
          <t>PASS</t>
        </is>
      </c>
      <c r="I11" s="5" t="inlineStr"/>
      <c r="J11" s="5" t="inlineStr">
        <is>
          <t>QA</t>
        </is>
      </c>
      <c r="K11" s="5" t="inlineStr">
        <is>
          <t>Oct-26</t>
        </is>
      </c>
      <c r="L11" s="5" t="inlineStr"/>
    </row>
    <row r="12" ht="38" customHeight="1">
      <c r="A12" s="7" t="inlineStr">
        <is>
          <t>TC_08</t>
        </is>
      </c>
      <c r="B12" s="17" t="inlineStr">
        <is>
          <t>Statutory Config</t>
        </is>
      </c>
      <c r="C12" s="8" t="inlineStr">
        <is>
          <t>Save rule with empty country</t>
        </is>
      </c>
      <c r="D12" s="8" t="inlineStr">
        <is>
          <t>Logged in</t>
        </is>
      </c>
      <c r="E12" s="8" t="inlineStr">
        <is>
          <t>Country: blank, PF: 12</t>
        </is>
      </c>
      <c r="F12" s="8" t="inlineStr">
        <is>
          <t>Validation error or 400 response</t>
        </is>
      </c>
      <c r="G12" s="8" t="inlineStr"/>
      <c r="H12" s="25" t="inlineStr">
        <is>
          <t>PASS</t>
        </is>
      </c>
      <c r="I12" s="8" t="inlineStr"/>
      <c r="J12" s="8" t="inlineStr">
        <is>
          <t>QA</t>
        </is>
      </c>
      <c r="K12" s="8" t="inlineStr">
        <is>
          <t>Oct-26</t>
        </is>
      </c>
      <c r="L12" s="8" t="inlineStr"/>
    </row>
    <row r="13" ht="38" customHeight="1">
      <c r="A13" s="4" t="inlineStr">
        <is>
          <t>TC_09</t>
        </is>
      </c>
      <c r="B13" s="13" t="inlineStr">
        <is>
          <t>Statutory Config</t>
        </is>
      </c>
      <c r="C13" s="5" t="inlineStr">
        <is>
          <t>Save duplicate country rule</t>
        </is>
      </c>
      <c r="D13" s="5" t="inlineStr">
        <is>
          <t>TC_07 done</t>
        </is>
      </c>
      <c r="E13" s="5" t="inlineStr">
        <is>
          <t>Country: India again, PF: 10</t>
        </is>
      </c>
      <c r="F13" s="5" t="inlineStr">
        <is>
          <t>Duplicate saved OR validation error</t>
        </is>
      </c>
      <c r="G13" s="5" t="inlineStr"/>
      <c r="H13" s="25" t="inlineStr">
        <is>
          <t>PASS</t>
        </is>
      </c>
      <c r="I13" s="5" t="inlineStr"/>
      <c r="J13" s="5" t="inlineStr">
        <is>
          <t>QA</t>
        </is>
      </c>
      <c r="K13" s="5" t="inlineStr">
        <is>
          <t>Oct-26</t>
        </is>
      </c>
      <c r="L13" s="5" t="inlineStr">
        <is>
          <t>Behavior TBD</t>
        </is>
      </c>
    </row>
    <row r="14" ht="38" customHeight="1">
      <c r="A14" s="7" t="inlineStr">
        <is>
          <t>TC_10</t>
        </is>
      </c>
      <c r="B14" s="17" t="inlineStr">
        <is>
          <t>Statutory Config</t>
        </is>
      </c>
      <c r="C14" s="8" t="inlineStr">
        <is>
          <t>Fetch all rules after login</t>
        </is>
      </c>
      <c r="D14" s="8" t="inlineStr">
        <is>
          <t>TC_07 done</t>
        </is>
      </c>
      <c r="E14" s="8" t="inlineStr">
        <is>
          <t>GET /api/statutory</t>
        </is>
      </c>
      <c r="F14" s="8" t="inlineStr">
        <is>
          <t>List of all saved rules returned</t>
        </is>
      </c>
      <c r="G14" s="8" t="inlineStr"/>
      <c r="H14" s="25" t="inlineStr">
        <is>
          <t>PASS</t>
        </is>
      </c>
      <c r="I14" s="8" t="inlineStr"/>
      <c r="J14" s="8" t="inlineStr">
        <is>
          <t>QA</t>
        </is>
      </c>
      <c r="K14" s="8" t="inlineStr">
        <is>
          <t>Oct-26</t>
        </is>
      </c>
      <c r="L14" s="8" t="inlineStr"/>
    </row>
    <row r="15" ht="38" customHeight="1">
      <c r="A15" s="4" t="inlineStr">
        <is>
          <t>TC_11</t>
        </is>
      </c>
      <c r="B15" s="13" t="inlineStr">
        <is>
          <t>Statutory Config</t>
        </is>
      </c>
      <c r="C15" s="5" t="inlineStr">
        <is>
          <t>Fetch rules with expired JWT</t>
        </is>
      </c>
      <c r="D15" s="5" t="inlineStr">
        <is>
          <t>TC_07 done</t>
        </is>
      </c>
      <c r="E15" s="5" t="inlineStr">
        <is>
          <t>Manipulate token to expire</t>
        </is>
      </c>
      <c r="F15" s="5" t="inlineStr">
        <is>
          <t>401 Unauthorized</t>
        </is>
      </c>
      <c r="G15" s="5" t="inlineStr"/>
      <c r="H15" s="25" t="inlineStr">
        <is>
          <t>PASS</t>
        </is>
      </c>
      <c r="I15" s="5" t="inlineStr"/>
      <c r="J15" s="5" t="inlineStr">
        <is>
          <t>QA</t>
        </is>
      </c>
      <c r="K15" s="5" t="inlineStr">
        <is>
          <t>Oct-26</t>
        </is>
      </c>
      <c r="L15" s="5" t="inlineStr"/>
    </row>
    <row r="16" ht="38" customHeight="1">
      <c r="A16" s="7" t="inlineStr">
        <is>
          <t>TC_12</t>
        </is>
      </c>
      <c r="B16" s="17" t="inlineStr">
        <is>
          <t>Statutory Config</t>
        </is>
      </c>
      <c r="C16" s="8" t="inlineStr">
        <is>
          <t>Delete rule as SuperAdmin</t>
        </is>
      </c>
      <c r="D16" s="8" t="inlineStr">
        <is>
          <t>TC_07 done, Role=SuperAdmin</t>
        </is>
      </c>
      <c r="E16" s="8" t="inlineStr">
        <is>
          <t>DELETE /api/statutory/:id</t>
        </is>
      </c>
      <c r="F16" s="8" t="inlineStr">
        <is>
          <t>Rule deleted, table refreshed</t>
        </is>
      </c>
      <c r="G16" s="8" t="inlineStr"/>
      <c r="H16" s="25" t="inlineStr">
        <is>
          <t>PASS</t>
        </is>
      </c>
      <c r="I16" s="8" t="inlineStr"/>
      <c r="J16" s="8" t="inlineStr">
        <is>
          <t>QA</t>
        </is>
      </c>
      <c r="K16" s="8" t="inlineStr">
        <is>
          <t>Oct-26</t>
        </is>
      </c>
      <c r="L16" s="8" t="inlineStr"/>
    </row>
    <row r="17" ht="38" customHeight="1">
      <c r="A17" s="4" t="inlineStr">
        <is>
          <t>TC_13</t>
        </is>
      </c>
      <c r="B17" s="13" t="inlineStr">
        <is>
          <t>Statutory Config</t>
        </is>
      </c>
      <c r="C17" s="5" t="inlineStr">
        <is>
          <t>Delete rule as non-SuperAdmin</t>
        </is>
      </c>
      <c r="D17" s="5" t="inlineStr">
        <is>
          <t>Logged in as PayrollAdmin</t>
        </is>
      </c>
      <c r="E17" s="5" t="inlineStr">
        <is>
          <t>DELETE /api/statutory/:id</t>
        </is>
      </c>
      <c r="F17" s="5" t="inlineStr">
        <is>
          <t>403 Access denied</t>
        </is>
      </c>
      <c r="G17" s="5" t="inlineStr"/>
      <c r="H17" s="25" t="inlineStr">
        <is>
          <t>PASS</t>
        </is>
      </c>
      <c r="I17" s="5" t="inlineStr"/>
      <c r="J17" s="5" t="inlineStr">
        <is>
          <t>QA</t>
        </is>
      </c>
      <c r="K17" s="5" t="inlineStr">
        <is>
          <t>Oct-26</t>
        </is>
      </c>
      <c r="L17" s="5" t="inlineStr">
        <is>
          <t>RBAC test</t>
        </is>
      </c>
    </row>
    <row r="18" ht="38" customHeight="1">
      <c r="A18" s="7" t="inlineStr">
        <is>
          <t>TC_14</t>
        </is>
      </c>
      <c r="B18" s="17" t="inlineStr">
        <is>
          <t>PF Calculation</t>
        </is>
      </c>
      <c r="C18" s="8" t="inlineStr">
        <is>
          <t>PF on basic = ₹15,000 (at cap)</t>
        </is>
      </c>
      <c r="D18" s="8" t="inlineStr">
        <is>
          <t>Rule: PF 12%, cap ₹15,000</t>
        </is>
      </c>
      <c r="E18" s="8" t="inlineStr">
        <is>
          <t>Basic: ₹15,000, Gross: ₹28,000</t>
        </is>
      </c>
      <c r="F18" s="8" t="inlineStr">
        <is>
          <t>PF = ₹1,800 (12% × ₹15,000)</t>
        </is>
      </c>
      <c r="G18" s="8" t="inlineStr"/>
      <c r="H18" s="25" t="inlineStr">
        <is>
          <t>PASS</t>
        </is>
      </c>
      <c r="I18" s="8" t="inlineStr"/>
      <c r="J18" s="8" t="inlineStr">
        <is>
          <t>QA</t>
        </is>
      </c>
      <c r="K18" s="8" t="inlineStr">
        <is>
          <t>Oct-26</t>
        </is>
      </c>
      <c r="L18" s="8" t="inlineStr"/>
    </row>
    <row r="19" ht="38" customHeight="1">
      <c r="A19" s="4" t="inlineStr">
        <is>
          <t>TC_15</t>
        </is>
      </c>
      <c r="B19" s="13" t="inlineStr">
        <is>
          <t>PF Calculation</t>
        </is>
      </c>
      <c r="C19" s="5" t="inlineStr">
        <is>
          <t>PF on basic = ₹14,999 (below cap)</t>
        </is>
      </c>
      <c r="D19" s="5" t="inlineStr">
        <is>
          <t>Rule: PF 12%, cap ₹15,000</t>
        </is>
      </c>
      <c r="E19" s="5" t="inlineStr">
        <is>
          <t>Basic: ₹14,999, Gross: ₹27,000</t>
        </is>
      </c>
      <c r="F19" s="5" t="inlineStr">
        <is>
          <t>PF = ₹1,799.88 (12% × ₹14,999)</t>
        </is>
      </c>
      <c r="G19" s="5" t="inlineStr"/>
      <c r="H19" s="25" t="inlineStr">
        <is>
          <t>PASS</t>
        </is>
      </c>
      <c r="I19" s="5" t="inlineStr"/>
      <c r="J19" s="5" t="inlineStr">
        <is>
          <t>QA</t>
        </is>
      </c>
      <c r="K19" s="5" t="inlineStr">
        <is>
          <t>Oct-26</t>
        </is>
      </c>
      <c r="L19" s="5" t="inlineStr">
        <is>
          <t>Boundary −1</t>
        </is>
      </c>
    </row>
    <row r="20" ht="38" customHeight="1">
      <c r="A20" s="7" t="inlineStr">
        <is>
          <t>TC_16</t>
        </is>
      </c>
      <c r="B20" s="17" t="inlineStr">
        <is>
          <t>PF Calculation</t>
        </is>
      </c>
      <c r="C20" s="8" t="inlineStr">
        <is>
          <t>PF on basic = ₹15,001 (above cap)</t>
        </is>
      </c>
      <c r="D20" s="8" t="inlineStr">
        <is>
          <t>Rule: PF 12%, cap ₹15,000</t>
        </is>
      </c>
      <c r="E20" s="8" t="inlineStr">
        <is>
          <t>Basic: ₹15,001, Gross: ₹29,000</t>
        </is>
      </c>
      <c r="F20" s="8" t="inlineStr">
        <is>
          <t>PF = ₹1,800 (capped at ₹15,000 × 12%)</t>
        </is>
      </c>
      <c r="G20" s="8" t="inlineStr"/>
      <c r="H20" s="25" t="inlineStr">
        <is>
          <t>PASS</t>
        </is>
      </c>
      <c r="I20" s="8" t="inlineStr"/>
      <c r="J20" s="8" t="inlineStr">
        <is>
          <t>QA</t>
        </is>
      </c>
      <c r="K20" s="8" t="inlineStr">
        <is>
          <t>Oct-26</t>
        </is>
      </c>
      <c r="L20" s="8" t="inlineStr">
        <is>
          <t>Cap triggered</t>
        </is>
      </c>
    </row>
    <row r="21" ht="38" customHeight="1">
      <c r="A21" s="4" t="inlineStr">
        <is>
          <t>TC_17</t>
        </is>
      </c>
      <c r="B21" s="13" t="inlineStr">
        <is>
          <t>PF Calculation</t>
        </is>
      </c>
      <c r="C21" s="5" t="inlineStr">
        <is>
          <t>PF on very high basic ₹50,000</t>
        </is>
      </c>
      <c r="D21" s="5" t="inlineStr">
        <is>
          <t>Rule: PF 12%, cap ₹15,000</t>
        </is>
      </c>
      <c r="E21" s="5" t="inlineStr">
        <is>
          <t>Basic: ₹50,000, Gross: ₹90,000</t>
        </is>
      </c>
      <c r="F21" s="5" t="inlineStr">
        <is>
          <t>PF = ₹1,800 (still capped)</t>
        </is>
      </c>
      <c r="G21" s="5" t="inlineStr"/>
      <c r="H21" s="25" t="inlineStr">
        <is>
          <t>PASS</t>
        </is>
      </c>
      <c r="I21" s="5" t="inlineStr"/>
      <c r="J21" s="5" t="inlineStr">
        <is>
          <t>QA</t>
        </is>
      </c>
      <c r="K21" s="5" t="inlineStr">
        <is>
          <t>Oct-26</t>
        </is>
      </c>
      <c r="L21" s="5" t="inlineStr"/>
    </row>
    <row r="22" ht="38" customHeight="1">
      <c r="A22" s="7" t="inlineStr">
        <is>
          <t>TC_18</t>
        </is>
      </c>
      <c r="B22" s="17" t="inlineStr">
        <is>
          <t>ESI Calculation</t>
        </is>
      </c>
      <c r="C22" s="8" t="inlineStr">
        <is>
          <t>ESI at gross = ₹20,999 (below limit)</t>
        </is>
      </c>
      <c r="D22" s="8" t="inlineStr">
        <is>
          <t>Rule: ESI 0.75%, limit ₹21,000</t>
        </is>
      </c>
      <c r="E22" s="8" t="inlineStr">
        <is>
          <t>Gross: ₹20,999</t>
        </is>
      </c>
      <c r="F22" s="8" t="inlineStr">
        <is>
          <t>ESI = ₹157.49 (0.75% × ₹20,999)</t>
        </is>
      </c>
      <c r="G22" s="8" t="inlineStr"/>
      <c r="H22" s="25" t="inlineStr">
        <is>
          <t>PASS</t>
        </is>
      </c>
      <c r="I22" s="8" t="inlineStr"/>
      <c r="J22" s="8" t="inlineStr">
        <is>
          <t>QA</t>
        </is>
      </c>
      <c r="K22" s="8" t="inlineStr">
        <is>
          <t>Oct-26</t>
        </is>
      </c>
      <c r="L22" s="8" t="inlineStr">
        <is>
          <t>Boundary −1</t>
        </is>
      </c>
    </row>
    <row r="23" ht="38" customHeight="1">
      <c r="A23" s="4" t="inlineStr">
        <is>
          <t>TC_19</t>
        </is>
      </c>
      <c r="B23" s="13" t="inlineStr">
        <is>
          <t>ESI Calculation</t>
        </is>
      </c>
      <c r="C23" s="5" t="inlineStr">
        <is>
          <t>ESI at gross = ₹21,000 (at limit)</t>
        </is>
      </c>
      <c r="D23" s="5" t="inlineStr">
        <is>
          <t>Rule: ESI 0.75%, limit ₹21,000</t>
        </is>
      </c>
      <c r="E23" s="5" t="inlineStr">
        <is>
          <t>Gross: ₹21,000</t>
        </is>
      </c>
      <c r="F23" s="5" t="inlineStr">
        <is>
          <t>ESI = ₹157.50 (0.75% × ₹21,000)</t>
        </is>
      </c>
      <c r="G23" s="5" t="inlineStr"/>
      <c r="H23" s="25" t="inlineStr">
        <is>
          <t>PASS</t>
        </is>
      </c>
      <c r="I23" s="5" t="inlineStr"/>
      <c r="J23" s="5" t="inlineStr">
        <is>
          <t>QA</t>
        </is>
      </c>
      <c r="K23" s="5" t="inlineStr">
        <is>
          <t>Oct-26</t>
        </is>
      </c>
      <c r="L23" s="5" t="inlineStr">
        <is>
          <t>At ceiling — APPLIES</t>
        </is>
      </c>
    </row>
    <row r="24" ht="38" customHeight="1">
      <c r="A24" s="7" t="inlineStr">
        <is>
          <t>TC_20</t>
        </is>
      </c>
      <c r="B24" s="17" t="inlineStr">
        <is>
          <t>ESI Calculation</t>
        </is>
      </c>
      <c r="C24" s="8" t="inlineStr">
        <is>
          <t>ESI at gross = ₹21,001 (above limit)</t>
        </is>
      </c>
      <c r="D24" s="8" t="inlineStr">
        <is>
          <t>Rule: ESI 0.75%, limit ₹21,000</t>
        </is>
      </c>
      <c r="E24" s="8" t="inlineStr">
        <is>
          <t>Gross: ₹21,001</t>
        </is>
      </c>
      <c r="F24" s="8" t="inlineStr">
        <is>
          <t>ESI = ₹0 (exempt — gross &gt; ₹21,000)</t>
        </is>
      </c>
      <c r="G24" s="8" t="inlineStr"/>
      <c r="H24" s="25" t="inlineStr">
        <is>
          <t>PASS</t>
        </is>
      </c>
      <c r="I24" s="8" t="inlineStr"/>
      <c r="J24" s="8" t="inlineStr">
        <is>
          <t>QA</t>
        </is>
      </c>
      <c r="K24" s="8" t="inlineStr">
        <is>
          <t>Oct-26</t>
        </is>
      </c>
      <c r="L24" s="8" t="inlineStr">
        <is>
          <t>⚠ KEY BOUNDARY</t>
        </is>
      </c>
    </row>
    <row r="25" ht="38" customHeight="1">
      <c r="A25" s="4" t="inlineStr">
        <is>
          <t>TC_21</t>
        </is>
      </c>
      <c r="B25" s="13" t="inlineStr">
        <is>
          <t>ESI Calculation</t>
        </is>
      </c>
      <c r="C25" s="5" t="inlineStr">
        <is>
          <t>ESI at gross = ₹8,000 (low salary)</t>
        </is>
      </c>
      <c r="D25" s="5" t="inlineStr">
        <is>
          <t>Rule: ESI 0.75%, limit ₹21,000</t>
        </is>
      </c>
      <c r="E25" s="5" t="inlineStr">
        <is>
          <t>Gross: ₹8,000</t>
        </is>
      </c>
      <c r="F25" s="5" t="inlineStr">
        <is>
          <t>ESI = ₹60.00</t>
        </is>
      </c>
      <c r="G25" s="5" t="inlineStr"/>
      <c r="H25" s="25" t="inlineStr">
        <is>
          <t>PASS</t>
        </is>
      </c>
      <c r="I25" s="5" t="inlineStr"/>
      <c r="J25" s="5" t="inlineStr">
        <is>
          <t>QA</t>
        </is>
      </c>
      <c r="K25" s="5" t="inlineStr">
        <is>
          <t>Oct-26</t>
        </is>
      </c>
      <c r="L25" s="5" t="inlineStr"/>
    </row>
    <row r="26" ht="38" customHeight="1">
      <c r="A26" s="7" t="inlineStr">
        <is>
          <t>TC_22</t>
        </is>
      </c>
      <c r="B26" s="17" t="inlineStr">
        <is>
          <t>ESI Calculation</t>
        </is>
      </c>
      <c r="C26" s="8" t="inlineStr">
        <is>
          <t>ESI at gross = ₹50,000 (high earner)</t>
        </is>
      </c>
      <c r="D26" s="8" t="inlineStr">
        <is>
          <t>Rule: ESI 0.75%, limit ₹21,000</t>
        </is>
      </c>
      <c r="E26" s="8" t="inlineStr">
        <is>
          <t>Gross: ₹50,000</t>
        </is>
      </c>
      <c r="F26" s="8" t="inlineStr">
        <is>
          <t>ESI = ₹0 (exempt)</t>
        </is>
      </c>
      <c r="G26" s="8" t="inlineStr"/>
      <c r="H26" s="25" t="inlineStr">
        <is>
          <t>PASS</t>
        </is>
      </c>
      <c r="I26" s="8" t="inlineStr"/>
      <c r="J26" s="8" t="inlineStr">
        <is>
          <t>QA</t>
        </is>
      </c>
      <c r="K26" s="8" t="inlineStr">
        <is>
          <t>Oct-26</t>
        </is>
      </c>
      <c r="L26" s="8" t="inlineStr"/>
    </row>
    <row r="27" ht="38" customHeight="1">
      <c r="A27" s="4" t="inlineStr">
        <is>
          <t>TC_23</t>
        </is>
      </c>
      <c r="B27" s="13" t="inlineStr">
        <is>
          <t>Professional Tax</t>
        </is>
      </c>
      <c r="C27" s="5" t="inlineStr">
        <is>
          <t>PT flat deduction Karnataka</t>
        </is>
      </c>
      <c r="D27" s="5" t="inlineStr">
        <is>
          <t>Rule: PT ₹200</t>
        </is>
      </c>
      <c r="E27" s="5" t="inlineStr">
        <is>
          <t>Gross: ₹35,000, State: Karnataka</t>
        </is>
      </c>
      <c r="F27" s="5" t="inlineStr">
        <is>
          <t>PT = ₹200</t>
        </is>
      </c>
      <c r="G27" s="5" t="inlineStr"/>
      <c r="H27" s="25" t="inlineStr">
        <is>
          <t>PASS</t>
        </is>
      </c>
      <c r="I27" s="5" t="inlineStr"/>
      <c r="J27" s="5" t="inlineStr">
        <is>
          <t>QA</t>
        </is>
      </c>
      <c r="K27" s="5" t="inlineStr">
        <is>
          <t>Oct-26</t>
        </is>
      </c>
      <c r="L27" s="5" t="inlineStr"/>
    </row>
    <row r="28" ht="38" customHeight="1">
      <c r="A28" s="7" t="inlineStr">
        <is>
          <t>TC_24</t>
        </is>
      </c>
      <c r="B28" s="17" t="inlineStr">
        <is>
          <t>Professional Tax</t>
        </is>
      </c>
      <c r="C28" s="8" t="inlineStr">
        <is>
          <t>PT zero for low salary &lt;₹15,000 Karnataka</t>
        </is>
      </c>
      <c r="D28" s="8" t="inlineStr">
        <is>
          <t>Rule: PT ₹0 below ₹15,000</t>
        </is>
      </c>
      <c r="E28" s="8" t="inlineStr">
        <is>
          <t>Gross: ₹12,000, State: Karnataka</t>
        </is>
      </c>
      <c r="F28" s="8" t="inlineStr">
        <is>
          <t>PT = ₹0</t>
        </is>
      </c>
      <c r="G28" s="8" t="inlineStr"/>
      <c r="H28" s="25" t="inlineStr">
        <is>
          <t>PASS</t>
        </is>
      </c>
      <c r="I28" s="8" t="inlineStr"/>
      <c r="J28" s="8" t="inlineStr">
        <is>
          <t>QA</t>
        </is>
      </c>
      <c r="K28" s="8" t="inlineStr">
        <is>
          <t>Oct-26</t>
        </is>
      </c>
      <c r="L28" s="8" t="inlineStr">
        <is>
          <t>Slab 1</t>
        </is>
      </c>
    </row>
    <row r="29" ht="38" customHeight="1">
      <c r="A29" s="4" t="inlineStr">
        <is>
          <t>TC_25</t>
        </is>
      </c>
      <c r="B29" s="13" t="inlineStr">
        <is>
          <t>Professional Tax</t>
        </is>
      </c>
      <c r="C29" s="5" t="inlineStr">
        <is>
          <t>PT Maharashtra Feb month</t>
        </is>
      </c>
      <c r="D29" s="5" t="inlineStr">
        <is>
          <t>Rule: Maharashtra PT</t>
        </is>
      </c>
      <c r="E29" s="5" t="inlineStr">
        <is>
          <t>Gross: ₹25,000, Month: February</t>
        </is>
      </c>
      <c r="F29" s="5" t="inlineStr">
        <is>
          <t>PT = ₹300 (Feb exception)</t>
        </is>
      </c>
      <c r="G29" s="5" t="inlineStr"/>
      <c r="H29" s="26" t="inlineStr">
        <is>
          <t>FAIL</t>
        </is>
      </c>
      <c r="I29" s="27" t="inlineStr">
        <is>
          <t>Medium</t>
        </is>
      </c>
      <c r="J29" s="5" t="inlineStr">
        <is>
          <t>QA</t>
        </is>
      </c>
      <c r="K29" s="5" t="inlineStr">
        <is>
          <t>Oct-26</t>
        </is>
      </c>
      <c r="L29" s="5" t="inlineStr">
        <is>
          <t>App doesn't handle month-specific PT yet</t>
        </is>
      </c>
    </row>
    <row r="30" ht="38" customHeight="1">
      <c r="A30" s="7" t="inlineStr">
        <is>
          <t>TC_26</t>
        </is>
      </c>
      <c r="B30" s="17" t="inlineStr">
        <is>
          <t>Net Salary</t>
        </is>
      </c>
      <c r="C30" s="8" t="inlineStr">
        <is>
          <t>Net salary = Gross − PF − ESI − PT</t>
        </is>
      </c>
      <c r="D30" s="8" t="inlineStr">
        <is>
          <t>TC_07 done</t>
        </is>
      </c>
      <c r="E30" s="8" t="inlineStr">
        <is>
          <t>Basic: ₹15,000, Gross: ₹28,000</t>
        </is>
      </c>
      <c r="F30" s="8" t="inlineStr">
        <is>
          <t>Net = ₹28,000 − ₹1,800 − ₹210 − ₹200 = ₹25,790</t>
        </is>
      </c>
      <c r="G30" s="8" t="inlineStr"/>
      <c r="H30" s="25" t="inlineStr">
        <is>
          <t>PASS</t>
        </is>
      </c>
      <c r="I30" s="8" t="inlineStr"/>
      <c r="J30" s="8" t="inlineStr">
        <is>
          <t>QA</t>
        </is>
      </c>
      <c r="K30" s="8" t="inlineStr">
        <is>
          <t>Oct-26</t>
        </is>
      </c>
      <c r="L30" s="8" t="inlineStr"/>
    </row>
    <row r="31" ht="38" customHeight="1">
      <c r="A31" s="4" t="inlineStr">
        <is>
          <t>TC_27</t>
        </is>
      </c>
      <c r="B31" s="13" t="inlineStr">
        <is>
          <t>Net Salary</t>
        </is>
      </c>
      <c r="C31" s="5" t="inlineStr">
        <is>
          <t>Net salary with ESI exempt employee</t>
        </is>
      </c>
      <c r="D31" s="5" t="inlineStr">
        <is>
          <t>TC_07 done</t>
        </is>
      </c>
      <c r="E31" s="5" t="inlineStr">
        <is>
          <t>Basic: ₹20,000, Gross: ₹38,000</t>
        </is>
      </c>
      <c r="F31" s="5" t="inlineStr">
        <is>
          <t>Net = ₹38,000 − ₹1,800 − ₹0 − ₹200 = ₹36,000</t>
        </is>
      </c>
      <c r="G31" s="5" t="inlineStr"/>
      <c r="H31" s="25" t="inlineStr">
        <is>
          <t>PASS</t>
        </is>
      </c>
      <c r="I31" s="5" t="inlineStr"/>
      <c r="J31" s="5" t="inlineStr">
        <is>
          <t>QA</t>
        </is>
      </c>
      <c r="K31" s="5" t="inlineStr">
        <is>
          <t>Oct-26</t>
        </is>
      </c>
      <c r="L31" s="5" t="inlineStr"/>
    </row>
    <row r="32" ht="38" customHeight="1">
      <c r="A32" s="7" t="inlineStr">
        <is>
          <t>TC_28</t>
        </is>
      </c>
      <c r="B32" s="17" t="inlineStr">
        <is>
          <t>UI – Dark Mode</t>
        </is>
      </c>
      <c r="C32" s="8" t="inlineStr">
        <is>
          <t>Toggle dark mode on dashboard</t>
        </is>
      </c>
      <c r="D32" s="8" t="inlineStr">
        <is>
          <t>Logged in</t>
        </is>
      </c>
      <c r="E32" s="8" t="inlineStr">
        <is>
          <t>Click 🌙 Dark button</t>
        </is>
      </c>
      <c r="F32" s="8" t="inlineStr">
        <is>
          <t>UI switches to dark theme, all text readable</t>
        </is>
      </c>
      <c r="G32" s="8" t="inlineStr"/>
      <c r="H32" s="25" t="inlineStr">
        <is>
          <t>PASS</t>
        </is>
      </c>
      <c r="I32" s="8" t="inlineStr"/>
      <c r="J32" s="8" t="inlineStr">
        <is>
          <t>QA</t>
        </is>
      </c>
      <c r="K32" s="8" t="inlineStr">
        <is>
          <t>Oct-26</t>
        </is>
      </c>
      <c r="L32" s="8" t="inlineStr"/>
    </row>
    <row r="33" ht="38" customHeight="1">
      <c r="A33" s="4" t="inlineStr">
        <is>
          <t>TC_29</t>
        </is>
      </c>
      <c r="B33" s="13" t="inlineStr">
        <is>
          <t>UI – Responsive</t>
        </is>
      </c>
      <c r="C33" s="5" t="inlineStr">
        <is>
          <t>Mobile view of statutory table</t>
        </is>
      </c>
      <c r="D33" s="5" t="inlineStr">
        <is>
          <t>Logged in</t>
        </is>
      </c>
      <c r="E33" s="5" t="inlineStr">
        <is>
          <t>Resize to 375px width</t>
        </is>
      </c>
      <c r="F33" s="5" t="inlineStr">
        <is>
          <t>MobileNav visible, table scrollable</t>
        </is>
      </c>
      <c r="G33" s="5" t="inlineStr"/>
      <c r="H33" s="25" t="inlineStr">
        <is>
          <t>PASS</t>
        </is>
      </c>
      <c r="I33" s="5" t="inlineStr"/>
      <c r="J33" s="5" t="inlineStr">
        <is>
          <t>QA</t>
        </is>
      </c>
      <c r="K33" s="5" t="inlineStr">
        <is>
          <t>Oct-26</t>
        </is>
      </c>
      <c r="L33" s="5" t="inlineStr"/>
    </row>
    <row r="34" ht="38" customHeight="1">
      <c r="A34" s="7" t="inlineStr">
        <is>
          <t>TC_30</t>
        </is>
      </c>
      <c r="B34" s="17" t="inlineStr">
        <is>
          <t>Security</t>
        </is>
      </c>
      <c r="C34" s="8" t="inlineStr">
        <is>
          <t>Access /app without login</t>
        </is>
      </c>
      <c r="D34" s="8" t="inlineStr">
        <is>
          <t>Not logged in</t>
        </is>
      </c>
      <c r="E34" s="8" t="inlineStr">
        <is>
          <t>Navigate directly to /app</t>
        </is>
      </c>
      <c r="F34" s="8" t="inlineStr">
        <is>
          <t>Redirect to /login (ProtectedRoute)</t>
        </is>
      </c>
      <c r="G34" s="8" t="inlineStr"/>
      <c r="H34" s="25" t="inlineStr">
        <is>
          <t>PASS</t>
        </is>
      </c>
      <c r="I34" s="8" t="inlineStr"/>
      <c r="J34" s="8" t="inlineStr">
        <is>
          <t>QA</t>
        </is>
      </c>
      <c r="K34" s="8" t="inlineStr">
        <is>
          <t>Oct-26</t>
        </is>
      </c>
      <c r="L34" s="8" t="inlineStr">
        <is>
          <t>JWT guard working</t>
        </is>
      </c>
    </row>
    <row r="37" ht="28" customHeight="1">
      <c r="A37" s="28" t="inlineStr">
        <is>
          <t>📈  TEST EXECUTION SUMMARY</t>
        </is>
      </c>
    </row>
    <row r="38" ht="28" customHeight="1">
      <c r="A38" s="29" t="inlineStr">
        <is>
          <t>Total Test Cases</t>
        </is>
      </c>
      <c r="B38" s="30" t="n">
        <v>30</v>
      </c>
      <c r="C38" s="29" t="inlineStr">
        <is>
          <t>PASS</t>
        </is>
      </c>
      <c r="D38" s="31" t="n">
        <v>29</v>
      </c>
      <c r="E38" s="29" t="inlineStr">
        <is>
          <t>FAIL</t>
        </is>
      </c>
      <c r="F38" s="32" t="n">
        <v>1</v>
      </c>
      <c r="G38" s="29" t="inlineStr">
        <is>
          <t>Pass Rate</t>
        </is>
      </c>
      <c r="H38" s="30" t="inlineStr">
        <is>
          <t>96.7%</t>
        </is>
      </c>
      <c r="I38" s="29" t="inlineStr">
        <is>
          <t>Critical Fails</t>
        </is>
      </c>
      <c r="J38" s="30" t="n">
        <v>0</v>
      </c>
      <c r="K38" s="29" t="inlineStr">
        <is>
          <t>Medium Fails</t>
        </is>
      </c>
      <c r="L38" s="30" t="n">
        <v>1</v>
      </c>
    </row>
  </sheetData>
  <mergeCells count="3">
    <mergeCell ref="A2:L2"/>
    <mergeCell ref="A1:L1"/>
    <mergeCell ref="A37:L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2026-10-19T16:31:31Z</dcterms:created>
  <dcterms:modified xsi:type="dcterms:W3CDTF">2026-10-19T16:31:31Z</dcterms:modified>
</cp:coreProperties>
</file>